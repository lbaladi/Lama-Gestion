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nab\OneDrive\Documents\S2\informatique\vba\projet\"/>
    </mc:Choice>
  </mc:AlternateContent>
  <xr:revisionPtr revIDLastSave="0" documentId="13_ncr:1_{2ACACFED-C2F6-4E90-A8C4-009BA2E51F57}" xr6:coauthVersionLast="47" xr6:coauthVersionMax="47" xr10:uidLastSave="{00000000-0000-0000-0000-000000000000}"/>
  <bookViews>
    <workbookView xWindow="-108" yWindow="-108" windowWidth="23256" windowHeight="12456" xr2:uid="{1BB2391C-F22B-9E49-90D7-60A271F4EC6F}"/>
  </bookViews>
  <sheets>
    <sheet name="Recapitulatif" sheetId="1" r:id="rId1"/>
    <sheet name="Investisseur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6" i="1"/>
  <c r="B7" i="1"/>
  <c r="B8" i="1"/>
  <c r="B9" i="1"/>
  <c r="B10" i="1"/>
  <c r="B11" i="1"/>
  <c r="B12" i="1"/>
  <c r="B5" i="1"/>
</calcChain>
</file>

<file path=xl/sharedStrings.xml><?xml version="1.0" encoding="utf-8"?>
<sst xmlns="http://schemas.openxmlformats.org/spreadsheetml/2006/main" count="185" uniqueCount="177">
  <si>
    <t>Fond</t>
  </si>
  <si>
    <t>Gérant</t>
  </si>
  <si>
    <t>Nom</t>
  </si>
  <si>
    <t>Prénom</t>
  </si>
  <si>
    <t>Composition</t>
  </si>
  <si>
    <t>Actifs</t>
  </si>
  <si>
    <t>Parts</t>
  </si>
  <si>
    <t>Somme investie</t>
  </si>
  <si>
    <t>Taille</t>
  </si>
  <si>
    <t>Numéro client</t>
  </si>
  <si>
    <t>Date de naissance</t>
  </si>
  <si>
    <t xml:space="preserve"> 12/03/2002</t>
  </si>
  <si>
    <t xml:space="preserve"> 07/10/2002</t>
  </si>
  <si>
    <t xml:space="preserve"> 22/10/2002</t>
  </si>
  <si>
    <t>FASO</t>
  </si>
  <si>
    <t>CLARA</t>
  </si>
  <si>
    <t xml:space="preserve"> 22/01/2002</t>
  </si>
  <si>
    <t>FEVRIER</t>
  </si>
  <si>
    <t>BAPTISTE</t>
  </si>
  <si>
    <t xml:space="preserve"> 20/08/2002</t>
  </si>
  <si>
    <t>FILAUDEAU</t>
  </si>
  <si>
    <t>MAXIME</t>
  </si>
  <si>
    <t xml:space="preserve"> 11/10/2001</t>
  </si>
  <si>
    <t>FRYDMAN</t>
  </si>
  <si>
    <t>LISA</t>
  </si>
  <si>
    <t xml:space="preserve"> 02/10/2001</t>
  </si>
  <si>
    <t>GIBOIRE</t>
  </si>
  <si>
    <t>ALIA</t>
  </si>
  <si>
    <t xml:space="preserve"> 15/02/2002</t>
  </si>
  <si>
    <t>GUILLOT</t>
  </si>
  <si>
    <t>LUCIE</t>
  </si>
  <si>
    <t xml:space="preserve"> 01/03/2002</t>
  </si>
  <si>
    <t>GUIRARD</t>
  </si>
  <si>
    <t>ARTHUR</t>
  </si>
  <si>
    <t xml:space="preserve"> 28/01/2003</t>
  </si>
  <si>
    <t>HASSOUN</t>
  </si>
  <si>
    <t>ODELIA</t>
  </si>
  <si>
    <t xml:space="preserve"> 29/11/2003</t>
  </si>
  <si>
    <t>JALO</t>
  </si>
  <si>
    <t>LUNA MIA</t>
  </si>
  <si>
    <t xml:space="preserve"> 16/08/2002</t>
  </si>
  <si>
    <t>JANIER DUBRY</t>
  </si>
  <si>
    <t>CAPUCINE</t>
  </si>
  <si>
    <t xml:space="preserve"> 13/04/2002</t>
  </si>
  <si>
    <t>KAMENSKA</t>
  </si>
  <si>
    <t>LORA</t>
  </si>
  <si>
    <t xml:space="preserve"> 10/04/2001</t>
  </si>
  <si>
    <t>KANOUI</t>
  </si>
  <si>
    <t>NICOLAS</t>
  </si>
  <si>
    <t xml:space="preserve"> 27/10/2002</t>
  </si>
  <si>
    <t>LE BELLEGO</t>
  </si>
  <si>
    <t>CLEMENT</t>
  </si>
  <si>
    <t xml:space="preserve"> 24/12/2001</t>
  </si>
  <si>
    <t>LECLERC</t>
  </si>
  <si>
    <t>CERISE</t>
  </si>
  <si>
    <t xml:space="preserve"> 02/04/2002</t>
  </si>
  <si>
    <t>LEPRETRE</t>
  </si>
  <si>
    <t>NILS</t>
  </si>
  <si>
    <t xml:space="preserve"> 01/02/2002</t>
  </si>
  <si>
    <t>LIMOUSI</t>
  </si>
  <si>
    <t>SALOME</t>
  </si>
  <si>
    <t>LOHEAC</t>
  </si>
  <si>
    <t xml:space="preserve"> 15/07/2002</t>
  </si>
  <si>
    <t>LOISEL</t>
  </si>
  <si>
    <t>PERRINE</t>
  </si>
  <si>
    <t>MAREM</t>
  </si>
  <si>
    <t>JULIE</t>
  </si>
  <si>
    <t xml:space="preserve"> 16/10/2002</t>
  </si>
  <si>
    <t>MEUNIER</t>
  </si>
  <si>
    <t xml:space="preserve"> 28/10/2002</t>
  </si>
  <si>
    <t>N'DOUMBE</t>
  </si>
  <si>
    <t>MARIE</t>
  </si>
  <si>
    <t xml:space="preserve"> 07/08/2002</t>
  </si>
  <si>
    <t>OURIACHI</t>
  </si>
  <si>
    <t>MATHIAS</t>
  </si>
  <si>
    <t xml:space="preserve"> 25/07/2001</t>
  </si>
  <si>
    <t>PANEN</t>
  </si>
  <si>
    <t>LEO</t>
  </si>
  <si>
    <t xml:space="preserve"> 14/02/2002</t>
  </si>
  <si>
    <t>PASQUIER</t>
  </si>
  <si>
    <t xml:space="preserve"> 13/07/2002</t>
  </si>
  <si>
    <t>PEQUEGNOT</t>
  </si>
  <si>
    <t>MARTIN</t>
  </si>
  <si>
    <t xml:space="preserve"> 06/08/2002</t>
  </si>
  <si>
    <t>PERRIER</t>
  </si>
  <si>
    <t>HUGO</t>
  </si>
  <si>
    <t xml:space="preserve"> 15/04/2002</t>
  </si>
  <si>
    <t>POENCIN-BURAT</t>
  </si>
  <si>
    <t>JEANNE</t>
  </si>
  <si>
    <t xml:space="preserve"> 05/09/2002</t>
  </si>
  <si>
    <t>RODRIGUEZ</t>
  </si>
  <si>
    <t>LENA</t>
  </si>
  <si>
    <t xml:space="preserve"> 24/09/2001</t>
  </si>
  <si>
    <t>SADRIN</t>
  </si>
  <si>
    <t>MARIUS</t>
  </si>
  <si>
    <t>SAMAOUI</t>
  </si>
  <si>
    <t>YOSRA</t>
  </si>
  <si>
    <t xml:space="preserve"> 24/07/2002</t>
  </si>
  <si>
    <t>SANDER</t>
  </si>
  <si>
    <t>TALIA</t>
  </si>
  <si>
    <t xml:space="preserve"> 19/10/2002</t>
  </si>
  <si>
    <t>SERICOLA</t>
  </si>
  <si>
    <t>TOLOSA-JOAS</t>
  </si>
  <si>
    <t>ALEXANDRA</t>
  </si>
  <si>
    <t xml:space="preserve"> 08/07/2001</t>
  </si>
  <si>
    <t>VELUT</t>
  </si>
  <si>
    <t>BOSCO</t>
  </si>
  <si>
    <t xml:space="preserve"> 23/02/2002</t>
  </si>
  <si>
    <t>VERMEULEN</t>
  </si>
  <si>
    <t>CLAIRE</t>
  </si>
  <si>
    <t xml:space="preserve"> 24/04/2002</t>
  </si>
  <si>
    <t>VERSCHELDE</t>
  </si>
  <si>
    <t>ROMANE</t>
  </si>
  <si>
    <t xml:space="preserve"> 27/09/2002</t>
  </si>
  <si>
    <t>VICENTE</t>
  </si>
  <si>
    <t>LOUISE</t>
  </si>
  <si>
    <t xml:space="preserve"> 05/04/2002</t>
  </si>
  <si>
    <t>Gamma</t>
  </si>
  <si>
    <t>JP MORGAN CHASE &amp; CO.</t>
  </si>
  <si>
    <t>MASTERCARD</t>
  </si>
  <si>
    <t>BANK OF AMERICA</t>
  </si>
  <si>
    <t>WELLS FARGO &amp; CO</t>
  </si>
  <si>
    <t>AMERICAN EXPRESS</t>
  </si>
  <si>
    <t>GOLDMAN SACHS GP.</t>
  </si>
  <si>
    <t>BLACKROCK</t>
  </si>
  <si>
    <t>MOODY'S</t>
  </si>
  <si>
    <t>Date</t>
  </si>
  <si>
    <t>Marché</t>
  </si>
  <si>
    <t>NYSE</t>
  </si>
  <si>
    <t>ADNET</t>
  </si>
  <si>
    <t>JULIETTE</t>
  </si>
  <si>
    <t xml:space="preserve"> 23/09/2002</t>
  </si>
  <si>
    <t>AIT HMAD</t>
  </si>
  <si>
    <t>YACINE</t>
  </si>
  <si>
    <t xml:space="preserve"> 14/03/2002</t>
  </si>
  <si>
    <t>AMADOU</t>
  </si>
  <si>
    <t>VERONIQUE</t>
  </si>
  <si>
    <t xml:space="preserve"> 22/12/2002</t>
  </si>
  <si>
    <t>AMAMRA</t>
  </si>
  <si>
    <t>MEHDI</t>
  </si>
  <si>
    <t xml:space="preserve"> 21/05/2002</t>
  </si>
  <si>
    <t>ANDRIAMAMPIANINA</t>
  </si>
  <si>
    <t>JENNIFER</t>
  </si>
  <si>
    <t xml:space="preserve"> 26/04/2002</t>
  </si>
  <si>
    <t>ARDISSON</t>
  </si>
  <si>
    <t>ALANYS</t>
  </si>
  <si>
    <t>AUFFRET</t>
  </si>
  <si>
    <t>MATHILDE</t>
  </si>
  <si>
    <t xml:space="preserve"> 20/12/2002</t>
  </si>
  <si>
    <t>BELAL</t>
  </si>
  <si>
    <t>AYA</t>
  </si>
  <si>
    <t>BEN ALI</t>
  </si>
  <si>
    <t>MERIEM</t>
  </si>
  <si>
    <t xml:space="preserve"> 19/01/2003</t>
  </si>
  <si>
    <t>BERRADA</t>
  </si>
  <si>
    <t>YASMINE</t>
  </si>
  <si>
    <t xml:space="preserve"> 14/11/2002</t>
  </si>
  <si>
    <t>BERTINCOURT</t>
  </si>
  <si>
    <t>ASTRID</t>
  </si>
  <si>
    <t>BOGDANOVIC</t>
  </si>
  <si>
    <t>FLORA</t>
  </si>
  <si>
    <t xml:space="preserve"> 13/08/2002</t>
  </si>
  <si>
    <t>COHEN</t>
  </si>
  <si>
    <t>ALON</t>
  </si>
  <si>
    <t xml:space="preserve"> 26/03/2002</t>
  </si>
  <si>
    <t>DA COSTA PEREIRA</t>
  </si>
  <si>
    <t>DAVID</t>
  </si>
  <si>
    <t xml:space="preserve"> 05/05/2002</t>
  </si>
  <si>
    <t>DARAZI</t>
  </si>
  <si>
    <t>MARC</t>
  </si>
  <si>
    <t xml:space="preserve"> 05/10/2002</t>
  </si>
  <si>
    <t>ZOUAGUI</t>
  </si>
  <si>
    <t>ELODIE</t>
  </si>
  <si>
    <t xml:space="preserve"> 05/05/2001</t>
  </si>
  <si>
    <t>CT Lacaussade</t>
  </si>
  <si>
    <t>Devise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</si>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</sst>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MS Sans Serif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/>
  </cellStyleXfs>
  <cellXfs count="9">
    <xf numFmtId="0" fontId="0" fillId="0" borderId="0" xfId="0"/>
    <xf numFmtId="0" fontId="1" fillId="0" borderId="0" xfId="0" applyFont="1"/>
    <xf numFmtId="164" fontId="0" fillId="0" borderId="0" xfId="0" applyNumberFormat="1"/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1" xfId="0" applyFont="1" applyBorder="1"/>
    <xf numFmtId="0" fontId="3" fillId="0" borderId="1" xfId="1" applyFont="1" applyBorder="1"/>
    <xf numFmtId="0" fontId="0" fillId="2" borderId="0" xfId="0" applyFill="1"/>
    <xf numFmtId="14" fontId="5" fillId="0" borderId="0" xfId="0" applyNumberFormat="1" applyFont="1"/>
  </cellXfs>
  <cellStyles count="2">
    <cellStyle name="Normal" xfId="0" builtinId="0"/>
    <cellStyle name="Normal_import97" xfId="1" xr:uid="{9EEB8EB6-D6C7-224D-A4F3-3D5B8950D7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31D9FE8-AE87-45B4-9FCA-486C8FF676F9}">
  <we:reference id="026e7b2b-fa4d-4fe0-bf3b-b965f6f25bee" version="1.0.0.75" store="EXCatalog" storeType="EXCatalog"/>
  <we:alternateReferences>
    <we:reference id="WA200000565" version="1.0.0.75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6F170-5B50-1249-A309-4F73AB37FF12}">
  <sheetPr codeName="Feuil1"/>
  <dimension ref="A1:F55"/>
  <sheetViews>
    <sheetView tabSelected="1" workbookViewId="0">
      <selection activeCell="F9" sqref="F9"/>
    </sheetView>
  </sheetViews>
  <sheetFormatPr baseColWidth="10" defaultRowHeight="15.6" x14ac:dyDescent="0.3"/>
  <cols>
    <col min="2" max="2" width="22.69921875" bestFit="1" customWidth="1"/>
    <col min="3" max="3" width="17.796875" bestFit="1" customWidth="1"/>
    <col min="4" max="4" width="17" customWidth="1"/>
  </cols>
  <sheetData>
    <row r="1" spans="1:6" x14ac:dyDescent="0.3">
      <c r="A1" s="1" t="s">
        <v>0</v>
      </c>
      <c r="B1" s="1" t="s">
        <v>1</v>
      </c>
      <c r="C1" t="s">
        <v>126</v>
      </c>
      <c r="D1" s="1" t="s">
        <v>8</v>
      </c>
      <c r="E1" s="1" t="s">
        <v>127</v>
      </c>
      <c r="F1" s="1" t="s">
        <v>175</v>
      </c>
    </row>
    <row r="2" spans="1:6" x14ac:dyDescent="0.3">
      <c r="A2" t="s">
        <v>117</v>
      </c>
      <c r="B2" t="s">
        <v>174</v>
      </c>
      <c r="C2" s="8">
        <v>44028</v>
      </c>
      <c r="D2" s="2">
        <f>SUM(Investisseurs!E17:E53)</f>
        <v>1791740550</v>
      </c>
      <c r="E2" t="s">
        <v>128</v>
      </c>
      <c r="F2" t="s">
        <v>176</v>
      </c>
    </row>
    <row r="3" spans="1:6" x14ac:dyDescent="0.3">
      <c r="A3" s="1" t="s">
        <v>4</v>
      </c>
    </row>
    <row r="4" spans="1:6" x14ac:dyDescent="0.3">
      <c r="A4" t="s">
        <v>5</v>
      </c>
      <c r="B4" t="s">
        <v>6</v>
      </c>
    </row>
    <row r="5" spans="1:6" x14ac:dyDescent="0.3">
      <c r="A5" s="7" t="s">
        <v>118</v>
      </c>
      <c r="B5">
        <f>1/8</f>
        <v>0.125</v>
      </c>
    </row>
    <row r="6" spans="1:6" x14ac:dyDescent="0.3">
      <c r="A6" s="7" t="s">
        <v>119</v>
      </c>
      <c r="B6">
        <f t="shared" ref="B6:B12" si="0">1/8</f>
        <v>0.125</v>
      </c>
    </row>
    <row r="7" spans="1:6" x14ac:dyDescent="0.3">
      <c r="A7" s="7" t="s">
        <v>120</v>
      </c>
      <c r="B7">
        <f t="shared" si="0"/>
        <v>0.125</v>
      </c>
    </row>
    <row r="8" spans="1:6" x14ac:dyDescent="0.3">
      <c r="A8" s="7" t="s">
        <v>121</v>
      </c>
      <c r="B8">
        <f t="shared" si="0"/>
        <v>0.125</v>
      </c>
    </row>
    <row r="9" spans="1:6" x14ac:dyDescent="0.3">
      <c r="A9" s="7" t="s">
        <v>122</v>
      </c>
      <c r="B9">
        <f t="shared" si="0"/>
        <v>0.125</v>
      </c>
    </row>
    <row r="10" spans="1:6" x14ac:dyDescent="0.3">
      <c r="A10" s="7" t="s">
        <v>123</v>
      </c>
      <c r="B10">
        <f t="shared" si="0"/>
        <v>0.125</v>
      </c>
    </row>
    <row r="11" spans="1:6" x14ac:dyDescent="0.3">
      <c r="A11" s="7" t="s">
        <v>124</v>
      </c>
      <c r="B11">
        <f t="shared" si="0"/>
        <v>0.125</v>
      </c>
    </row>
    <row r="12" spans="1:6" x14ac:dyDescent="0.3">
      <c r="A12" s="7" t="s">
        <v>125</v>
      </c>
      <c r="B12">
        <f t="shared" si="0"/>
        <v>0.125</v>
      </c>
    </row>
    <row r="18" spans="2:2" x14ac:dyDescent="0.3">
      <c r="B18" s="1"/>
    </row>
    <row r="19" spans="2:2" x14ac:dyDescent="0.3">
      <c r="B19" s="1"/>
    </row>
    <row r="20" spans="2:2" x14ac:dyDescent="0.3">
      <c r="B20" s="1"/>
    </row>
    <row r="21" spans="2:2" x14ac:dyDescent="0.3">
      <c r="B21" s="1"/>
    </row>
    <row r="22" spans="2:2" x14ac:dyDescent="0.3">
      <c r="B22" s="1"/>
    </row>
    <row r="23" spans="2:2" x14ac:dyDescent="0.3">
      <c r="B23" s="1"/>
    </row>
    <row r="24" spans="2:2" x14ac:dyDescent="0.3">
      <c r="B24" s="1"/>
    </row>
    <row r="25" spans="2:2" x14ac:dyDescent="0.3">
      <c r="B25" s="1"/>
    </row>
    <row r="26" spans="2:2" x14ac:dyDescent="0.3">
      <c r="B26" s="1"/>
    </row>
    <row r="27" spans="2:2" x14ac:dyDescent="0.3">
      <c r="B27" s="1"/>
    </row>
    <row r="28" spans="2:2" x14ac:dyDescent="0.3">
      <c r="B28" s="1"/>
    </row>
    <row r="29" spans="2:2" x14ac:dyDescent="0.3">
      <c r="B29" s="1"/>
    </row>
    <row r="30" spans="2:2" x14ac:dyDescent="0.3">
      <c r="B30" s="1"/>
    </row>
    <row r="31" spans="2:2" x14ac:dyDescent="0.3">
      <c r="B31" s="1"/>
    </row>
    <row r="32" spans="2:2" x14ac:dyDescent="0.3">
      <c r="B32" s="1"/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36" spans="2:2" x14ac:dyDescent="0.3">
      <c r="B36" s="1"/>
    </row>
    <row r="37" spans="2:2" x14ac:dyDescent="0.3">
      <c r="B37" s="1"/>
    </row>
    <row r="38" spans="2:2" x14ac:dyDescent="0.3">
      <c r="B38" s="1"/>
    </row>
    <row r="39" spans="2:2" x14ac:dyDescent="0.3">
      <c r="B39" s="1"/>
    </row>
    <row r="40" spans="2:2" x14ac:dyDescent="0.3">
      <c r="B40" s="1"/>
    </row>
    <row r="41" spans="2:2" x14ac:dyDescent="0.3">
      <c r="B41" s="1"/>
    </row>
    <row r="42" spans="2:2" x14ac:dyDescent="0.3">
      <c r="B42" s="1"/>
    </row>
    <row r="43" spans="2:2" x14ac:dyDescent="0.3">
      <c r="B43" s="1"/>
    </row>
    <row r="44" spans="2:2" x14ac:dyDescent="0.3">
      <c r="B44" s="1"/>
    </row>
    <row r="45" spans="2:2" x14ac:dyDescent="0.3">
      <c r="B45" s="1"/>
    </row>
    <row r="46" spans="2:2" x14ac:dyDescent="0.3">
      <c r="B46" s="1"/>
    </row>
    <row r="47" spans="2:2" x14ac:dyDescent="0.3">
      <c r="B47" s="1"/>
    </row>
    <row r="48" spans="2:2" x14ac:dyDescent="0.3">
      <c r="B48" s="1"/>
    </row>
    <row r="49" spans="2:2" x14ac:dyDescent="0.3">
      <c r="B49" s="1"/>
    </row>
    <row r="50" spans="2:2" x14ac:dyDescent="0.3">
      <c r="B50" s="1"/>
    </row>
    <row r="51" spans="2:2" x14ac:dyDescent="0.3">
      <c r="B51" s="1"/>
    </row>
    <row r="52" spans="2:2" x14ac:dyDescent="0.3">
      <c r="B52" s="1"/>
    </row>
    <row r="53" spans="2:2" x14ac:dyDescent="0.3">
      <c r="B53" s="1"/>
    </row>
    <row r="54" spans="2:2" x14ac:dyDescent="0.3">
      <c r="B54" s="1"/>
    </row>
    <row r="55" spans="2:2" x14ac:dyDescent="0.3">
      <c r="B55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BA879-6318-7B45-9E3F-ACEE419A1A18}">
  <sheetPr codeName="Feuil2"/>
  <dimension ref="A1:E54"/>
  <sheetViews>
    <sheetView workbookViewId="0">
      <selection activeCell="G16" sqref="G16"/>
    </sheetView>
  </sheetViews>
  <sheetFormatPr baseColWidth="10" defaultRowHeight="15.6" x14ac:dyDescent="0.3"/>
  <sheetData>
    <row r="1" spans="1:5" x14ac:dyDescent="0.3">
      <c r="A1" s="3" t="s">
        <v>9</v>
      </c>
      <c r="B1" s="3" t="s">
        <v>2</v>
      </c>
      <c r="C1" s="3" t="s">
        <v>3</v>
      </c>
      <c r="D1" s="3" t="s">
        <v>10</v>
      </c>
      <c r="E1" s="4" t="s">
        <v>7</v>
      </c>
    </row>
    <row r="2" spans="1:5" x14ac:dyDescent="0.3">
      <c r="A2" s="5"/>
      <c r="B2" s="5" t="s">
        <v>129</v>
      </c>
      <c r="C2" s="5" t="s">
        <v>130</v>
      </c>
      <c r="D2" s="5" t="s">
        <v>131</v>
      </c>
      <c r="E2">
        <v>0</v>
      </c>
    </row>
    <row r="3" spans="1:5" x14ac:dyDescent="0.3">
      <c r="A3" s="5"/>
      <c r="B3" s="5" t="s">
        <v>132</v>
      </c>
      <c r="C3" s="5" t="s">
        <v>133</v>
      </c>
      <c r="D3" s="5" t="s">
        <v>134</v>
      </c>
      <c r="E3">
        <v>0</v>
      </c>
    </row>
    <row r="4" spans="1:5" x14ac:dyDescent="0.3">
      <c r="A4" s="5"/>
      <c r="B4" s="5" t="s">
        <v>135</v>
      </c>
      <c r="C4" s="5" t="s">
        <v>136</v>
      </c>
      <c r="D4" s="5" t="s">
        <v>137</v>
      </c>
      <c r="E4">
        <v>0</v>
      </c>
    </row>
    <row r="5" spans="1:5" x14ac:dyDescent="0.3">
      <c r="A5" s="5"/>
      <c r="B5" s="5" t="s">
        <v>138</v>
      </c>
      <c r="C5" s="5" t="s">
        <v>139</v>
      </c>
      <c r="D5" s="5" t="s">
        <v>140</v>
      </c>
      <c r="E5">
        <v>0</v>
      </c>
    </row>
    <row r="6" spans="1:5" x14ac:dyDescent="0.3">
      <c r="A6" s="5"/>
      <c r="B6" s="5" t="s">
        <v>141</v>
      </c>
      <c r="C6" s="5" t="s">
        <v>142</v>
      </c>
      <c r="D6" s="5" t="s">
        <v>143</v>
      </c>
      <c r="E6">
        <v>0</v>
      </c>
    </row>
    <row r="7" spans="1:5" x14ac:dyDescent="0.3">
      <c r="A7" s="5"/>
      <c r="B7" s="5" t="s">
        <v>144</v>
      </c>
      <c r="C7" s="5" t="s">
        <v>145</v>
      </c>
      <c r="D7" s="5" t="s">
        <v>11</v>
      </c>
      <c r="E7">
        <v>0</v>
      </c>
    </row>
    <row r="8" spans="1:5" x14ac:dyDescent="0.3">
      <c r="A8" s="5"/>
      <c r="B8" s="5" t="s">
        <v>146</v>
      </c>
      <c r="C8" s="5" t="s">
        <v>147</v>
      </c>
      <c r="D8" s="5" t="s">
        <v>148</v>
      </c>
      <c r="E8">
        <v>0</v>
      </c>
    </row>
    <row r="9" spans="1:5" x14ac:dyDescent="0.3">
      <c r="A9" s="5"/>
      <c r="B9" s="5" t="s">
        <v>149</v>
      </c>
      <c r="C9" s="5" t="s">
        <v>150</v>
      </c>
      <c r="D9" s="5" t="s">
        <v>12</v>
      </c>
      <c r="E9">
        <v>0</v>
      </c>
    </row>
    <row r="10" spans="1:5" x14ac:dyDescent="0.3">
      <c r="A10" s="5"/>
      <c r="B10" s="5" t="s">
        <v>151</v>
      </c>
      <c r="C10" s="5" t="s">
        <v>152</v>
      </c>
      <c r="D10" s="5" t="s">
        <v>153</v>
      </c>
      <c r="E10">
        <v>0</v>
      </c>
    </row>
    <row r="11" spans="1:5" x14ac:dyDescent="0.3">
      <c r="A11" s="5"/>
      <c r="B11" s="5" t="s">
        <v>154</v>
      </c>
      <c r="C11" s="5" t="s">
        <v>155</v>
      </c>
      <c r="D11" s="5" t="s">
        <v>156</v>
      </c>
      <c r="E11">
        <v>0</v>
      </c>
    </row>
    <row r="12" spans="1:5" x14ac:dyDescent="0.3">
      <c r="A12" s="5"/>
      <c r="B12" s="5" t="s">
        <v>157</v>
      </c>
      <c r="C12" s="5" t="s">
        <v>158</v>
      </c>
      <c r="D12" s="5" t="s">
        <v>13</v>
      </c>
      <c r="E12">
        <v>0</v>
      </c>
    </row>
    <row r="13" spans="1:5" x14ac:dyDescent="0.3">
      <c r="A13" s="5"/>
      <c r="B13" s="5" t="s">
        <v>159</v>
      </c>
      <c r="C13" s="5" t="s">
        <v>160</v>
      </c>
      <c r="D13" s="6" t="s">
        <v>161</v>
      </c>
      <c r="E13">
        <v>0</v>
      </c>
    </row>
    <row r="14" spans="1:5" x14ac:dyDescent="0.3">
      <c r="A14" s="5"/>
      <c r="B14" s="5" t="s">
        <v>162</v>
      </c>
      <c r="C14" s="5" t="s">
        <v>163</v>
      </c>
      <c r="D14" s="5" t="s">
        <v>164</v>
      </c>
      <c r="E14">
        <v>0</v>
      </c>
    </row>
    <row r="15" spans="1:5" x14ac:dyDescent="0.3">
      <c r="A15" s="5"/>
      <c r="B15" s="5" t="s">
        <v>165</v>
      </c>
      <c r="C15" s="5" t="s">
        <v>166</v>
      </c>
      <c r="D15" s="6" t="s">
        <v>167</v>
      </c>
      <c r="E15">
        <v>0</v>
      </c>
    </row>
    <row r="16" spans="1:5" x14ac:dyDescent="0.3">
      <c r="A16" s="5"/>
      <c r="B16" s="5" t="s">
        <v>168</v>
      </c>
      <c r="C16" s="5" t="s">
        <v>169</v>
      </c>
      <c r="D16" s="5" t="s">
        <v>170</v>
      </c>
      <c r="E16">
        <v>0</v>
      </c>
    </row>
    <row r="17" spans="1:5" x14ac:dyDescent="0.3">
      <c r="A17" s="5"/>
      <c r="B17" s="5" t="s">
        <v>14</v>
      </c>
      <c r="C17" s="5" t="s">
        <v>15</v>
      </c>
      <c r="D17" s="5" t="s">
        <v>16</v>
      </c>
      <c r="E17">
        <v>55236640</v>
      </c>
    </row>
    <row r="18" spans="1:5" x14ac:dyDescent="0.3">
      <c r="A18" s="5"/>
      <c r="B18" s="5" t="s">
        <v>17</v>
      </c>
      <c r="C18" s="5" t="s">
        <v>18</v>
      </c>
      <c r="D18" s="5" t="s">
        <v>19</v>
      </c>
      <c r="E18">
        <v>42047670</v>
      </c>
    </row>
    <row r="19" spans="1:5" x14ac:dyDescent="0.3">
      <c r="A19" s="5"/>
      <c r="B19" s="5" t="s">
        <v>20</v>
      </c>
      <c r="C19" s="5" t="s">
        <v>21</v>
      </c>
      <c r="D19" s="5" t="s">
        <v>22</v>
      </c>
      <c r="E19">
        <v>97442570</v>
      </c>
    </row>
    <row r="20" spans="1:5" x14ac:dyDescent="0.3">
      <c r="A20" s="5"/>
      <c r="B20" s="5" t="s">
        <v>23</v>
      </c>
      <c r="C20" s="5" t="s">
        <v>24</v>
      </c>
      <c r="D20" s="6" t="s">
        <v>25</v>
      </c>
      <c r="E20">
        <v>77166090</v>
      </c>
    </row>
    <row r="21" spans="1:5" x14ac:dyDescent="0.3">
      <c r="A21" s="5"/>
      <c r="B21" s="5" t="s">
        <v>26</v>
      </c>
      <c r="C21" s="5" t="s">
        <v>27</v>
      </c>
      <c r="D21" s="6" t="s">
        <v>28</v>
      </c>
      <c r="E21">
        <v>51123000</v>
      </c>
    </row>
    <row r="22" spans="1:5" x14ac:dyDescent="0.3">
      <c r="A22" s="5"/>
      <c r="B22" s="5" t="s">
        <v>29</v>
      </c>
      <c r="C22" s="5" t="s">
        <v>30</v>
      </c>
      <c r="D22" s="5" t="s">
        <v>31</v>
      </c>
      <c r="E22">
        <v>43886780</v>
      </c>
    </row>
    <row r="23" spans="1:5" x14ac:dyDescent="0.3">
      <c r="A23" s="5"/>
      <c r="B23" s="5" t="s">
        <v>32</v>
      </c>
      <c r="C23" s="5" t="s">
        <v>33</v>
      </c>
      <c r="D23" s="5" t="s">
        <v>34</v>
      </c>
      <c r="E23">
        <v>78511580</v>
      </c>
    </row>
    <row r="24" spans="1:5" x14ac:dyDescent="0.3">
      <c r="A24" s="5"/>
      <c r="B24" s="5" t="s">
        <v>35</v>
      </c>
      <c r="C24" s="5" t="s">
        <v>36</v>
      </c>
      <c r="D24" s="6" t="s">
        <v>37</v>
      </c>
      <c r="E24">
        <v>82515470</v>
      </c>
    </row>
    <row r="25" spans="1:5" x14ac:dyDescent="0.3">
      <c r="A25" s="5"/>
      <c r="B25" s="5" t="s">
        <v>38</v>
      </c>
      <c r="C25" s="5" t="s">
        <v>39</v>
      </c>
      <c r="D25" s="6" t="s">
        <v>40</v>
      </c>
      <c r="E25">
        <v>58644550</v>
      </c>
    </row>
    <row r="26" spans="1:5" x14ac:dyDescent="0.3">
      <c r="A26" s="5"/>
      <c r="B26" s="5" t="s">
        <v>41</v>
      </c>
      <c r="C26" s="5" t="s">
        <v>42</v>
      </c>
      <c r="D26" s="5" t="s">
        <v>43</v>
      </c>
      <c r="E26">
        <v>80188480</v>
      </c>
    </row>
    <row r="27" spans="1:5" x14ac:dyDescent="0.3">
      <c r="A27" s="5"/>
      <c r="B27" s="5" t="s">
        <v>44</v>
      </c>
      <c r="C27" s="5" t="s">
        <v>45</v>
      </c>
      <c r="D27" s="6" t="s">
        <v>46</v>
      </c>
      <c r="E27">
        <v>21991380</v>
      </c>
    </row>
    <row r="28" spans="1:5" x14ac:dyDescent="0.3">
      <c r="A28" s="5"/>
      <c r="B28" s="5" t="s">
        <v>47</v>
      </c>
      <c r="C28" s="5" t="s">
        <v>48</v>
      </c>
      <c r="D28" s="5" t="s">
        <v>49</v>
      </c>
      <c r="E28">
        <v>60107540</v>
      </c>
    </row>
    <row r="29" spans="1:5" x14ac:dyDescent="0.3">
      <c r="A29" s="5"/>
      <c r="B29" s="5" t="s">
        <v>50</v>
      </c>
      <c r="C29" s="5" t="s">
        <v>51</v>
      </c>
      <c r="D29" s="5" t="s">
        <v>52</v>
      </c>
      <c r="E29">
        <v>3753300</v>
      </c>
    </row>
    <row r="30" spans="1:5" x14ac:dyDescent="0.3">
      <c r="A30" s="5"/>
      <c r="B30" s="5" t="s">
        <v>53</v>
      </c>
      <c r="C30" s="5" t="s">
        <v>54</v>
      </c>
      <c r="D30" s="6" t="s">
        <v>55</v>
      </c>
      <c r="E30">
        <v>69223010</v>
      </c>
    </row>
    <row r="31" spans="1:5" x14ac:dyDescent="0.3">
      <c r="A31" s="5"/>
      <c r="B31" s="5" t="s">
        <v>56</v>
      </c>
      <c r="C31" s="5" t="s">
        <v>57</v>
      </c>
      <c r="D31" s="5" t="s">
        <v>58</v>
      </c>
      <c r="E31">
        <v>4608300</v>
      </c>
    </row>
    <row r="32" spans="1:5" x14ac:dyDescent="0.3">
      <c r="A32" s="5"/>
      <c r="B32" s="5" t="s">
        <v>59</v>
      </c>
      <c r="C32" s="5" t="s">
        <v>60</v>
      </c>
      <c r="D32" s="5" t="s">
        <v>12</v>
      </c>
      <c r="E32">
        <v>98605290</v>
      </c>
    </row>
    <row r="33" spans="1:5" x14ac:dyDescent="0.3">
      <c r="A33" s="5"/>
      <c r="B33" s="5" t="s">
        <v>61</v>
      </c>
      <c r="C33" s="5" t="s">
        <v>18</v>
      </c>
      <c r="D33" s="6" t="s">
        <v>62</v>
      </c>
      <c r="E33">
        <v>23449620</v>
      </c>
    </row>
    <row r="34" spans="1:5" x14ac:dyDescent="0.3">
      <c r="A34" s="5"/>
      <c r="B34" s="5" t="s">
        <v>63</v>
      </c>
      <c r="C34" s="5" t="s">
        <v>64</v>
      </c>
      <c r="D34" s="5" t="s">
        <v>40</v>
      </c>
      <c r="E34">
        <v>10732450</v>
      </c>
    </row>
    <row r="35" spans="1:5" x14ac:dyDescent="0.3">
      <c r="A35" s="5"/>
      <c r="B35" s="5" t="s">
        <v>65</v>
      </c>
      <c r="C35" s="5" t="s">
        <v>66</v>
      </c>
      <c r="D35" s="5" t="s">
        <v>67</v>
      </c>
      <c r="E35">
        <v>30306710</v>
      </c>
    </row>
    <row r="36" spans="1:5" x14ac:dyDescent="0.3">
      <c r="A36" s="5"/>
      <c r="B36" s="5" t="s">
        <v>68</v>
      </c>
      <c r="C36" s="5" t="s">
        <v>21</v>
      </c>
      <c r="D36" s="6" t="s">
        <v>69</v>
      </c>
      <c r="E36">
        <v>66732360</v>
      </c>
    </row>
    <row r="37" spans="1:5" x14ac:dyDescent="0.3">
      <c r="A37" s="5"/>
      <c r="B37" s="5" t="s">
        <v>70</v>
      </c>
      <c r="C37" s="5" t="s">
        <v>71</v>
      </c>
      <c r="D37" s="6" t="s">
        <v>72</v>
      </c>
      <c r="E37">
        <v>9121980</v>
      </c>
    </row>
    <row r="38" spans="1:5" x14ac:dyDescent="0.3">
      <c r="A38" s="5"/>
      <c r="B38" s="5" t="s">
        <v>73</v>
      </c>
      <c r="C38" s="5" t="s">
        <v>74</v>
      </c>
      <c r="D38" s="5" t="s">
        <v>75</v>
      </c>
      <c r="E38">
        <v>15289360</v>
      </c>
    </row>
    <row r="39" spans="1:5" x14ac:dyDescent="0.3">
      <c r="A39" s="5"/>
      <c r="B39" s="5" t="s">
        <v>76</v>
      </c>
      <c r="C39" s="5" t="s">
        <v>77</v>
      </c>
      <c r="D39" s="5" t="s">
        <v>78</v>
      </c>
      <c r="E39">
        <v>9917910</v>
      </c>
    </row>
    <row r="40" spans="1:5" x14ac:dyDescent="0.3">
      <c r="A40" s="5"/>
      <c r="B40" s="5" t="s">
        <v>79</v>
      </c>
      <c r="C40" s="5" t="s">
        <v>66</v>
      </c>
      <c r="D40" s="5" t="s">
        <v>80</v>
      </c>
      <c r="E40">
        <v>32998870</v>
      </c>
    </row>
    <row r="41" spans="1:5" x14ac:dyDescent="0.3">
      <c r="A41" s="5"/>
      <c r="B41" s="5" t="s">
        <v>81</v>
      </c>
      <c r="C41" s="5" t="s">
        <v>82</v>
      </c>
      <c r="D41" s="6" t="s">
        <v>83</v>
      </c>
      <c r="E41">
        <v>69088240</v>
      </c>
    </row>
    <row r="42" spans="1:5" x14ac:dyDescent="0.3">
      <c r="A42" s="5"/>
      <c r="B42" s="5" t="s">
        <v>84</v>
      </c>
      <c r="C42" s="5" t="s">
        <v>85</v>
      </c>
      <c r="D42" s="6" t="s">
        <v>86</v>
      </c>
      <c r="E42">
        <v>48505020</v>
      </c>
    </row>
    <row r="43" spans="1:5" x14ac:dyDescent="0.3">
      <c r="A43" s="5"/>
      <c r="B43" s="5" t="s">
        <v>87</v>
      </c>
      <c r="C43" s="5" t="s">
        <v>88</v>
      </c>
      <c r="D43" s="5" t="s">
        <v>89</v>
      </c>
      <c r="E43">
        <v>63333100</v>
      </c>
    </row>
    <row r="44" spans="1:5" x14ac:dyDescent="0.3">
      <c r="A44" s="5"/>
      <c r="B44" s="5" t="s">
        <v>90</v>
      </c>
      <c r="C44" s="5" t="s">
        <v>91</v>
      </c>
      <c r="D44" s="5" t="s">
        <v>92</v>
      </c>
      <c r="E44">
        <v>21348510</v>
      </c>
    </row>
    <row r="45" spans="1:5" x14ac:dyDescent="0.3">
      <c r="A45" s="5"/>
      <c r="B45" s="5" t="s">
        <v>93</v>
      </c>
      <c r="C45" s="5" t="s">
        <v>94</v>
      </c>
      <c r="D45" s="6" t="s">
        <v>11</v>
      </c>
      <c r="E45">
        <v>45470290</v>
      </c>
    </row>
    <row r="46" spans="1:5" x14ac:dyDescent="0.3">
      <c r="A46" s="5"/>
      <c r="B46" s="5" t="s">
        <v>95</v>
      </c>
      <c r="C46" s="5" t="s">
        <v>96</v>
      </c>
      <c r="D46" s="6" t="s">
        <v>97</v>
      </c>
      <c r="E46">
        <v>90152330</v>
      </c>
    </row>
    <row r="47" spans="1:5" x14ac:dyDescent="0.3">
      <c r="A47" s="5"/>
      <c r="B47" s="5" t="s">
        <v>98</v>
      </c>
      <c r="C47" s="5" t="s">
        <v>99</v>
      </c>
      <c r="D47" s="6" t="s">
        <v>100</v>
      </c>
      <c r="E47">
        <v>38263210</v>
      </c>
    </row>
    <row r="48" spans="1:5" x14ac:dyDescent="0.3">
      <c r="A48" s="5"/>
      <c r="B48" s="5" t="s">
        <v>101</v>
      </c>
      <c r="C48" s="5" t="s">
        <v>85</v>
      </c>
      <c r="D48" s="5" t="s">
        <v>13</v>
      </c>
      <c r="E48">
        <v>65715000</v>
      </c>
    </row>
    <row r="49" spans="1:5" x14ac:dyDescent="0.3">
      <c r="A49" s="5"/>
      <c r="B49" s="5" t="s">
        <v>102</v>
      </c>
      <c r="C49" s="5" t="s">
        <v>103</v>
      </c>
      <c r="D49" s="6" t="s">
        <v>104</v>
      </c>
      <c r="E49">
        <v>10986450</v>
      </c>
    </row>
    <row r="50" spans="1:5" x14ac:dyDescent="0.3">
      <c r="A50" s="5"/>
      <c r="B50" s="5" t="s">
        <v>105</v>
      </c>
      <c r="C50" s="5" t="s">
        <v>106</v>
      </c>
      <c r="D50" s="5" t="s">
        <v>107</v>
      </c>
      <c r="E50">
        <v>20610710</v>
      </c>
    </row>
    <row r="51" spans="1:5" x14ac:dyDescent="0.3">
      <c r="A51" s="5"/>
      <c r="B51" s="5" t="s">
        <v>108</v>
      </c>
      <c r="C51" s="5" t="s">
        <v>109</v>
      </c>
      <c r="D51" s="6" t="s">
        <v>110</v>
      </c>
      <c r="E51">
        <v>71858000</v>
      </c>
    </row>
    <row r="52" spans="1:5" x14ac:dyDescent="0.3">
      <c r="A52" s="5"/>
      <c r="B52" s="5" t="s">
        <v>111</v>
      </c>
      <c r="C52" s="5" t="s">
        <v>112</v>
      </c>
      <c r="D52" s="5" t="s">
        <v>113</v>
      </c>
      <c r="E52">
        <v>57635380</v>
      </c>
    </row>
    <row r="53" spans="1:5" x14ac:dyDescent="0.3">
      <c r="A53" s="5"/>
      <c r="B53" s="5" t="s">
        <v>114</v>
      </c>
      <c r="C53" s="5" t="s">
        <v>115</v>
      </c>
      <c r="D53" s="6" t="s">
        <v>116</v>
      </c>
      <c r="E53">
        <v>65173400</v>
      </c>
    </row>
    <row r="54" spans="1:5" x14ac:dyDescent="0.3">
      <c r="A54" s="5"/>
      <c r="B54" s="5" t="s">
        <v>171</v>
      </c>
      <c r="C54" s="5" t="s">
        <v>172</v>
      </c>
      <c r="D54" s="5" t="s">
        <v>173</v>
      </c>
      <c r="E5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Recapitulatif</vt:lpstr>
      <vt:lpstr>Investisseurs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Luna Baladi</cp:lastModifiedBy>
  <dcterms:created xsi:type="dcterms:W3CDTF">2023-01-26T13:36:07Z</dcterms:created>
  <dcterms:modified xsi:type="dcterms:W3CDTF">2024-03-16T13:06:18Z</dcterms:modified>
</cp:coreProperties>
</file>